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<sst xmlns="http://schemas.openxmlformats.org/spreadsheetml/2006/main" count="65" uniqueCount="54">
  <si>
    <t xml:space="preserve">Station </t>
  </si>
  <si>
    <t xml:space="preserve">day</t>
  </si>
  <si>
    <t xml:space="preserve">hour</t>
  </si>
  <si>
    <t xml:space="preserve">lat</t>
  </si>
  <si>
    <t xml:space="preserve">long</t>
  </si>
  <si>
    <t xml:space="preserve">Sal</t>
  </si>
  <si>
    <t xml:space="preserve">Sea</t>
  </si>
  <si>
    <t xml:space="preserve">Sky</t>
  </si>
  <si>
    <t xml:space="preserve">Observation</t>
  </si>
  <si>
    <t xml:space="preserve">acdom(275)</t>
  </si>
  <si>
    <t xml:space="preserve">acdom(295)</t>
  </si>
  <si>
    <t xml:space="preserve">acdom(320)</t>
  </si>
  <si>
    <t xml:space="preserve">acdom(412)</t>
  </si>
  <si>
    <t xml:space="preserve">320/412</t>
  </si>
  <si>
    <t xml:space="preserve">275/295</t>
  </si>
  <si>
    <t xml:space="preserve">S275-295</t>
  </si>
  <si>
    <t xml:space="preserve">SC01</t>
  </si>
  <si>
    <t xml:space="preserve">9h45</t>
  </si>
  <si>
    <t xml:space="preserve">mangroves</t>
  </si>
  <si>
    <t xml:space="preserve">SC02</t>
  </si>
  <si>
    <t xml:space="preserve">14h25</t>
  </si>
  <si>
    <t xml:space="preserve">SC03</t>
  </si>
  <si>
    <t xml:space="preserve">13h15</t>
  </si>
  <si>
    <t xml:space="preserve">AGRICULTURE effect (EESSEM) - sample at low tide with a lot of mud</t>
  </si>
  <si>
    <t xml:space="preserve">SC04</t>
  </si>
  <si>
    <t xml:space="preserve">10h33</t>
  </si>
  <si>
    <t xml:space="preserve">SC05</t>
  </si>
  <si>
    <t xml:space="preserve">11h55</t>
  </si>
  <si>
    <t xml:space="preserve">SC06</t>
  </si>
  <si>
    <t xml:space="preserve">9h19</t>
  </si>
  <si>
    <t xml:space="preserve">AQUACULTURE effect (EESSEM) </t>
  </si>
  <si>
    <t xml:space="preserve">SC07</t>
  </si>
  <si>
    <t xml:space="preserve">10h55</t>
  </si>
  <si>
    <t xml:space="preserve">NATURAL effect (EESSEM</t>
  </si>
  <si>
    <t xml:space="preserve">SC08</t>
  </si>
  <si>
    <t xml:space="preserve">12h00</t>
  </si>
  <si>
    <t xml:space="preserve">SC09</t>
  </si>
  <si>
    <t xml:space="preserve">SC10</t>
  </si>
  <si>
    <t xml:space="preserve">9h00</t>
  </si>
  <si>
    <t xml:space="preserve">SC11</t>
  </si>
  <si>
    <t xml:space="preserve">10h25</t>
  </si>
  <si>
    <t xml:space="preserve">SC12</t>
  </si>
  <si>
    <t xml:space="preserve">11h45</t>
  </si>
  <si>
    <t xml:space="preserve">SC13</t>
  </si>
  <si>
    <t xml:space="preserve">11h49</t>
  </si>
  <si>
    <t xml:space="preserve">URBANIZATION effect (EESSEM)</t>
  </si>
  <si>
    <t xml:space="preserve">SC14</t>
  </si>
  <si>
    <t xml:space="preserve">9h54</t>
  </si>
  <si>
    <t xml:space="preserve">close to the coastal waters</t>
  </si>
  <si>
    <t xml:space="preserve">SC15</t>
  </si>
  <si>
    <t xml:space="preserve">10h40</t>
  </si>
  <si>
    <t xml:space="preserve">SC16</t>
  </si>
  <si>
    <t xml:space="preserve">12h15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</si>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</sst>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dd/mm/yy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24"/>
      <color rgb="FF000000"/>
      <name val="Arial"/>
      <family val="2"/>
      <charset val="1"/>
    </font>
    <font>
      <sz val="24"/>
      <color rgb="FF1F1F1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F21" activeCellId="0" sqref="F21"/>
    </sheetView>
  </sheetViews>
  <sheetFormatPr defaultColWidth="10.7890625" defaultRowHeight="15" zeroHeight="false" outlineLevelRow="0" outlineLevelCol="0"/>
  <cols>
    <col collapsed="false" customWidth="false" hidden="false" outlineLevel="0" max="1" min="1" style="1" width="10.78"/>
    <col collapsed="false" customWidth="true" hidden="false" outlineLevel="0" max="2" min="2" style="2" width="11.66"/>
    <col collapsed="false" customWidth="false" hidden="false" outlineLevel="0" max="3" min="3" style="2" width="10.78"/>
    <col collapsed="false" customWidth="true" hidden="false" outlineLevel="0" max="4" min="4" style="2" width="13.44"/>
    <col collapsed="false" customWidth="true" hidden="false" outlineLevel="0" max="7" min="5" style="2" width="14.77"/>
    <col collapsed="false" customWidth="false" hidden="false" outlineLevel="0" max="13" min="8" style="2" width="10.78"/>
    <col collapsed="false" customWidth="false" hidden="false" outlineLevel="0" max="15" min="14" style="3" width="10.78"/>
    <col collapsed="false" customWidth="false" hidden="false" outlineLevel="0" max="16" min="16" style="2" width="10.78"/>
    <col collapsed="false" customWidth="false" hidden="false" outlineLevel="0" max="18" min="18" style="2" width="10.78"/>
    <col collapsed="false" customWidth="false" hidden="false" outlineLevel="0" max="22" min="21" style="2" width="10.78"/>
    <col collapsed="false" customWidth="false" hidden="false" outlineLevel="0" max="1022" min="24" style="2" width="10.78"/>
  </cols>
  <sheetData>
    <row r="1" s="1" customFormat="true" ht="15" hidden="false" customHeight="fals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/>
      <c r="G1" s="6" t="s">
        <v>5</v>
      </c>
      <c r="H1" s="7" t="s">
        <v>6</v>
      </c>
      <c r="I1" s="8" t="s">
        <v>7</v>
      </c>
      <c r="J1" s="8" t="s">
        <v>8</v>
      </c>
      <c r="K1" s="9" t="s">
        <v>9</v>
      </c>
      <c r="L1" s="1" t="s">
        <v>10</v>
      </c>
      <c r="M1" s="1" t="s">
        <v>11</v>
      </c>
      <c r="N1" s="9" t="s">
        <v>12</v>
      </c>
      <c r="O1" s="1" t="s">
        <v>13</v>
      </c>
      <c r="P1" s="1" t="s">
        <v>14</v>
      </c>
      <c r="Q1" s="9" t="s">
        <v>15</v>
      </c>
      <c r="AMC1" s="0"/>
      <c r="AMD1" s="0"/>
      <c r="AME1" s="0"/>
      <c r="AMF1" s="0"/>
      <c r="AMG1" s="0"/>
      <c r="AMH1" s="0"/>
      <c r="AMI1" s="0"/>
      <c r="AMJ1" s="0"/>
    </row>
    <row r="2" s="2" customFormat="true" ht="15" hidden="false" customHeight="false" outlineLevel="0" collapsed="false">
      <c r="A2" s="10" t="s">
        <v>16</v>
      </c>
      <c r="B2" s="11" t="n">
        <v>45602</v>
      </c>
      <c r="C2" s="12" t="s">
        <v>17</v>
      </c>
      <c r="D2" s="12" t="n">
        <v>-7.68433333333333</v>
      </c>
      <c r="E2" s="12" t="n">
        <v>-34.84725</v>
      </c>
      <c r="F2" s="12"/>
      <c r="G2" s="12" t="n">
        <v>35</v>
      </c>
      <c r="H2" s="13" t="n">
        <v>2</v>
      </c>
      <c r="I2" s="13" t="n">
        <v>4</v>
      </c>
      <c r="J2" s="2" t="s">
        <v>18</v>
      </c>
      <c r="K2" s="0" t="n">
        <v>10.0729032727273</v>
      </c>
      <c r="L2" s="2" t="n">
        <v>6.95233827272727</v>
      </c>
      <c r="M2" s="0" t="n">
        <v>4.45381357272727</v>
      </c>
      <c r="N2" s="0" t="n">
        <v>0.933678072727273</v>
      </c>
      <c r="O2" s="2" t="n">
        <f aca="false">M2/N2</f>
        <v>4.7701811821688</v>
      </c>
      <c r="P2" s="2" t="n">
        <f aca="false">K2/L2</f>
        <v>1.44885114584274</v>
      </c>
      <c r="Q2" s="0" t="n">
        <v>0.01869</v>
      </c>
      <c r="AMC2" s="0"/>
      <c r="AMD2" s="0"/>
      <c r="AME2" s="0"/>
      <c r="AMF2" s="0"/>
      <c r="AMG2" s="0"/>
      <c r="AMH2" s="0"/>
      <c r="AMI2" s="0"/>
      <c r="AMJ2" s="0"/>
    </row>
    <row r="3" s="2" customFormat="true" ht="15" hidden="false" customHeight="false" outlineLevel="0" collapsed="false">
      <c r="A3" s="14" t="s">
        <v>19</v>
      </c>
      <c r="B3" s="15" t="n">
        <v>45601</v>
      </c>
      <c r="C3" s="16" t="s">
        <v>20</v>
      </c>
      <c r="D3" s="16" t="n">
        <v>-7.669</v>
      </c>
      <c r="E3" s="16" t="n">
        <v>-34.86025</v>
      </c>
      <c r="F3" s="16"/>
      <c r="G3" s="16" t="n">
        <v>37</v>
      </c>
      <c r="H3" s="17" t="n">
        <v>1</v>
      </c>
      <c r="I3" s="17" t="n">
        <v>2</v>
      </c>
      <c r="J3" s="2" t="s">
        <v>18</v>
      </c>
      <c r="K3" s="0" t="n">
        <v>19.4094327636364</v>
      </c>
      <c r="L3" s="2" t="n">
        <v>13.8854569636364</v>
      </c>
      <c r="M3" s="0" t="n">
        <v>8.87666226363637</v>
      </c>
      <c r="N3" s="0" t="n">
        <v>2.47340106363636</v>
      </c>
      <c r="O3" s="2" t="n">
        <f aca="false">M3/N3</f>
        <v>3.58884872903952</v>
      </c>
      <c r="P3" s="2" t="n">
        <f aca="false">K3/L3</f>
        <v>1.39782455949893</v>
      </c>
      <c r="Q3" s="0" t="n">
        <v>0.01683</v>
      </c>
      <c r="AMC3" s="0"/>
      <c r="AMD3" s="0"/>
      <c r="AME3" s="0"/>
      <c r="AMF3" s="0"/>
      <c r="AMG3" s="0"/>
      <c r="AMH3" s="0"/>
      <c r="AMI3" s="0"/>
      <c r="AMJ3" s="0"/>
    </row>
    <row r="4" s="2" customFormat="true" ht="15" hidden="false" customHeight="false" outlineLevel="0" collapsed="false">
      <c r="A4" s="14" t="s">
        <v>21</v>
      </c>
      <c r="B4" s="15" t="n">
        <v>45601</v>
      </c>
      <c r="C4" s="16" t="s">
        <v>22</v>
      </c>
      <c r="D4" s="16" t="n">
        <v>-7.65477777777778</v>
      </c>
      <c r="E4" s="16" t="n">
        <v>-34.8682777777778</v>
      </c>
      <c r="F4" s="16"/>
      <c r="G4" s="16" t="n">
        <v>35</v>
      </c>
      <c r="H4" s="17" t="n">
        <v>1</v>
      </c>
      <c r="I4" s="17" t="n">
        <v>2</v>
      </c>
      <c r="J4" s="2" t="s">
        <v>23</v>
      </c>
      <c r="K4" s="0" t="n">
        <v>17.1229306181818</v>
      </c>
      <c r="L4" s="2" t="n">
        <v>12.1507536181818</v>
      </c>
      <c r="M4" s="0" t="n">
        <v>8.04611671818182</v>
      </c>
      <c r="N4" s="0" t="n">
        <v>1.71424851818182</v>
      </c>
      <c r="O4" s="2" t="n">
        <f aca="false">M4/N4</f>
        <v>4.69366992757606</v>
      </c>
      <c r="P4" s="2" t="n">
        <f aca="false">K4/L4</f>
        <v>1.40920729332869</v>
      </c>
      <c r="Q4" s="0" t="n">
        <v>0.01734</v>
      </c>
      <c r="AMC4" s="0"/>
      <c r="AMD4" s="0"/>
      <c r="AME4" s="0"/>
      <c r="AMF4" s="0"/>
      <c r="AMG4" s="0"/>
      <c r="AMH4" s="0"/>
      <c r="AMI4" s="0"/>
      <c r="AMJ4" s="0"/>
    </row>
    <row r="5" s="2" customFormat="true" ht="15" hidden="false" customHeight="false" outlineLevel="0" collapsed="false">
      <c r="A5" s="14" t="s">
        <v>24</v>
      </c>
      <c r="B5" s="15" t="n">
        <v>45602</v>
      </c>
      <c r="C5" s="16" t="s">
        <v>25</v>
      </c>
      <c r="D5" s="12" t="n">
        <v>-7.69838888888889</v>
      </c>
      <c r="E5" s="12" t="n">
        <v>-34.8540277777778</v>
      </c>
      <c r="F5" s="12"/>
      <c r="G5" s="16" t="n">
        <v>34</v>
      </c>
      <c r="H5" s="17" t="n">
        <v>1</v>
      </c>
      <c r="I5" s="17" t="n">
        <v>4</v>
      </c>
      <c r="J5" s="2" t="s">
        <v>18</v>
      </c>
      <c r="K5" s="0" t="n">
        <v>14.9207810818182</v>
      </c>
      <c r="L5" s="2" t="n">
        <v>10.3610713818182</v>
      </c>
      <c r="M5" s="0" t="n">
        <v>6.60119358181818</v>
      </c>
      <c r="N5" s="0" t="n">
        <v>1.42727378181818</v>
      </c>
      <c r="O5" s="2" t="n">
        <f aca="false">M5/N5</f>
        <v>4.62503667194743</v>
      </c>
      <c r="P5" s="2" t="n">
        <f aca="false">K5/L5</f>
        <v>1.44008090784911</v>
      </c>
      <c r="Q5" s="0" t="n">
        <v>0.0183</v>
      </c>
      <c r="AMC5" s="0"/>
      <c r="AMD5" s="0"/>
      <c r="AME5" s="0"/>
      <c r="AMF5" s="0"/>
      <c r="AMG5" s="0"/>
      <c r="AMH5" s="0"/>
      <c r="AMI5" s="0"/>
      <c r="AMJ5" s="0"/>
    </row>
    <row r="6" s="2" customFormat="true" ht="15" hidden="false" customHeight="false" outlineLevel="0" collapsed="false">
      <c r="A6" s="14" t="s">
        <v>26</v>
      </c>
      <c r="B6" s="15" t="n">
        <v>45602</v>
      </c>
      <c r="C6" s="16" t="s">
        <v>27</v>
      </c>
      <c r="D6" s="12" t="n">
        <v>-7.71102777777778</v>
      </c>
      <c r="E6" s="12" t="n">
        <v>-34.8620833333333</v>
      </c>
      <c r="F6" s="12"/>
      <c r="G6" s="16" t="n">
        <v>33.5</v>
      </c>
      <c r="H6" s="3" t="n">
        <v>1</v>
      </c>
      <c r="I6" s="17" t="n">
        <v>4</v>
      </c>
      <c r="J6" s="2" t="s">
        <v>18</v>
      </c>
      <c r="K6" s="0" t="n">
        <v>17.9079605090909</v>
      </c>
      <c r="L6" s="2" t="n">
        <v>12.4599837090909</v>
      </c>
      <c r="M6" s="0" t="n">
        <v>7.97373970909091</v>
      </c>
      <c r="N6" s="0" t="n">
        <v>1.66743480909091</v>
      </c>
      <c r="O6" s="2" t="n">
        <f aca="false">M6/N6</f>
        <v>4.78203985284331</v>
      </c>
      <c r="P6" s="2" t="n">
        <f aca="false">K6/L6</f>
        <v>1.43723787504033</v>
      </c>
      <c r="Q6" s="0" t="n">
        <v>0.01833</v>
      </c>
      <c r="AMC6" s="0"/>
      <c r="AMD6" s="0"/>
      <c r="AME6" s="0"/>
      <c r="AMF6" s="0"/>
      <c r="AMG6" s="0"/>
      <c r="AMH6" s="0"/>
      <c r="AMI6" s="0"/>
      <c r="AMJ6" s="0"/>
    </row>
    <row r="7" s="2" customFormat="true" ht="15" hidden="false" customHeight="false" outlineLevel="0" collapsed="false">
      <c r="A7" s="14" t="s">
        <v>28</v>
      </c>
      <c r="B7" s="15" t="n">
        <v>45603</v>
      </c>
      <c r="C7" s="16" t="s">
        <v>29</v>
      </c>
      <c r="D7" s="12" t="n">
        <v>-7.71616666666667</v>
      </c>
      <c r="E7" s="12" t="n">
        <v>-34.8856111111111</v>
      </c>
      <c r="F7" s="12"/>
      <c r="G7" s="16" t="n">
        <v>33.5</v>
      </c>
      <c r="H7" s="17" t="n">
        <v>1</v>
      </c>
      <c r="I7" s="17" t="n">
        <v>3</v>
      </c>
      <c r="J7" s="2" t="s">
        <v>30</v>
      </c>
      <c r="K7" s="0" t="n">
        <v>18.6600575</v>
      </c>
      <c r="L7" s="2" t="n">
        <v>13.0183984</v>
      </c>
      <c r="M7" s="0" t="n">
        <v>8.4708946</v>
      </c>
      <c r="N7" s="0" t="n">
        <v>1.8064732</v>
      </c>
      <c r="O7" s="2" t="n">
        <f aca="false">M7/N7</f>
        <v>4.68918918918919</v>
      </c>
      <c r="P7" s="2" t="n">
        <f aca="false">K7/L7</f>
        <v>1.43336045853382</v>
      </c>
      <c r="Q7" s="0" t="n">
        <v>0.0182</v>
      </c>
      <c r="AMC7" s="0"/>
      <c r="AMD7" s="0"/>
      <c r="AME7" s="0"/>
      <c r="AMF7" s="0"/>
      <c r="AMG7" s="0"/>
      <c r="AMH7" s="0"/>
      <c r="AMI7" s="0"/>
      <c r="AMJ7" s="0"/>
    </row>
    <row r="8" s="2" customFormat="true" ht="15" hidden="false" customHeight="false" outlineLevel="0" collapsed="false">
      <c r="A8" s="14" t="s">
        <v>31</v>
      </c>
      <c r="B8" s="15" t="n">
        <v>45603</v>
      </c>
      <c r="C8" s="16" t="s">
        <v>32</v>
      </c>
      <c r="D8" s="12" t="n">
        <v>-7.72625</v>
      </c>
      <c r="E8" s="12" t="n">
        <v>-34.8623333333333</v>
      </c>
      <c r="F8" s="12"/>
      <c r="G8" s="16" t="n">
        <v>35</v>
      </c>
      <c r="H8" s="17" t="n">
        <v>1</v>
      </c>
      <c r="I8" s="17" t="n">
        <v>4</v>
      </c>
      <c r="J8" s="2" t="s">
        <v>33</v>
      </c>
      <c r="K8" s="0" t="n">
        <v>19.0613029090909</v>
      </c>
      <c r="L8" s="2" t="n">
        <v>13.0619879090909</v>
      </c>
      <c r="M8" s="0" t="n">
        <v>8.04881750909091</v>
      </c>
      <c r="N8" s="0" t="n">
        <v>1.63473220909091</v>
      </c>
      <c r="O8" s="2" t="n">
        <f aca="false">M8/N8</f>
        <v>4.92363058874758</v>
      </c>
      <c r="P8" s="2" t="n">
        <f aca="false">K8/L8</f>
        <v>1.4592957091795</v>
      </c>
      <c r="Q8" s="0" t="n">
        <v>0.01912</v>
      </c>
      <c r="AMC8" s="0"/>
      <c r="AMD8" s="0"/>
      <c r="AME8" s="0"/>
      <c r="AMF8" s="0"/>
      <c r="AMG8" s="0"/>
      <c r="AMH8" s="0"/>
      <c r="AMI8" s="0"/>
      <c r="AMJ8" s="0"/>
    </row>
    <row r="9" s="2" customFormat="true" ht="15" hidden="false" customHeight="false" outlineLevel="0" collapsed="false">
      <c r="A9" s="14" t="s">
        <v>34</v>
      </c>
      <c r="B9" s="15" t="n">
        <v>45607</v>
      </c>
      <c r="C9" s="16" t="s">
        <v>35</v>
      </c>
      <c r="D9" s="12" t="n">
        <v>-7.74119444444445</v>
      </c>
      <c r="E9" s="12" t="n">
        <v>-34.8770833333333</v>
      </c>
      <c r="F9" s="12"/>
      <c r="G9" s="16" t="n">
        <v>34</v>
      </c>
      <c r="H9" s="17" t="n">
        <v>1</v>
      </c>
      <c r="I9" s="17" t="n">
        <v>5</v>
      </c>
      <c r="J9" s="2" t="s">
        <v>18</v>
      </c>
      <c r="K9" s="0" t="n">
        <v>21.1821984181818</v>
      </c>
      <c r="L9" s="2" t="n">
        <v>15.1554777181818</v>
      </c>
      <c r="M9" s="0" t="n">
        <v>9.58958731818182</v>
      </c>
      <c r="N9" s="0" t="n">
        <v>2.58501281818182</v>
      </c>
      <c r="O9" s="2" t="n">
        <f aca="false">M9/N9</f>
        <v>3.7096865635377</v>
      </c>
      <c r="P9" s="2" t="n">
        <f aca="false">K9/L9</f>
        <v>1.39765956653216</v>
      </c>
      <c r="Q9" s="0" t="n">
        <v>0.01676</v>
      </c>
      <c r="AMC9" s="0"/>
      <c r="AMD9" s="0"/>
      <c r="AME9" s="0"/>
      <c r="AMF9" s="0"/>
      <c r="AMG9" s="0"/>
      <c r="AMH9" s="0"/>
      <c r="AMI9" s="0"/>
      <c r="AMJ9" s="0"/>
    </row>
    <row r="10" s="2" customFormat="true" ht="15" hidden="false" customHeight="false" outlineLevel="0" collapsed="false">
      <c r="A10" s="14" t="s">
        <v>36</v>
      </c>
      <c r="B10" s="15" t="n">
        <v>45607</v>
      </c>
      <c r="C10" s="16" t="s">
        <v>22</v>
      </c>
      <c r="D10" s="12" t="n">
        <v>-7.76391666666667</v>
      </c>
      <c r="E10" s="12" t="n">
        <v>-34.8880555555556</v>
      </c>
      <c r="F10" s="12"/>
      <c r="G10" s="16" t="n">
        <v>35</v>
      </c>
      <c r="H10" s="17" t="n">
        <v>1</v>
      </c>
      <c r="I10" s="17" t="n">
        <v>4</v>
      </c>
      <c r="J10" s="2" t="s">
        <v>18</v>
      </c>
      <c r="K10" s="0" t="n">
        <v>17.7434844363636</v>
      </c>
      <c r="L10" s="2" t="n">
        <v>12.3242951363636</v>
      </c>
      <c r="M10" s="0" t="n">
        <v>7.78945783636364</v>
      </c>
      <c r="N10" s="0" t="n">
        <v>1.75030093636364</v>
      </c>
      <c r="O10" s="2" t="n">
        <f aca="false">M10/N10</f>
        <v>4.45035346467148</v>
      </c>
      <c r="P10" s="2" t="n">
        <f aca="false">K10/L10</f>
        <v>1.43971596266064</v>
      </c>
      <c r="Q10" s="0" t="n">
        <v>0.01838</v>
      </c>
      <c r="AMC10" s="0"/>
      <c r="AMD10" s="0"/>
      <c r="AME10" s="0"/>
      <c r="AMF10" s="0"/>
      <c r="AMG10" s="0"/>
      <c r="AMH10" s="0"/>
      <c r="AMI10" s="0"/>
      <c r="AMJ10" s="0"/>
    </row>
    <row r="11" s="2" customFormat="true" ht="15" hidden="false" customHeight="false" outlineLevel="0" collapsed="false">
      <c r="A11" s="14" t="s">
        <v>37</v>
      </c>
      <c r="B11" s="15" t="n">
        <v>45608</v>
      </c>
      <c r="C11" s="16" t="s">
        <v>38</v>
      </c>
      <c r="D11" s="12" t="n">
        <v>-7.78722222222222</v>
      </c>
      <c r="E11" s="12" t="n">
        <v>-34.8884444444444</v>
      </c>
      <c r="F11" s="12"/>
      <c r="G11" s="16" t="n">
        <v>35</v>
      </c>
      <c r="H11" s="17" t="n">
        <v>1</v>
      </c>
      <c r="I11" s="17" t="n">
        <v>4</v>
      </c>
      <c r="J11" s="2" t="s">
        <v>18</v>
      </c>
      <c r="K11" s="0" t="n">
        <v>17.7321159909091</v>
      </c>
      <c r="L11" s="2" t="n">
        <v>12.2505153909091</v>
      </c>
      <c r="M11" s="0" t="n">
        <v>7.78292569090909</v>
      </c>
      <c r="N11" s="0" t="n">
        <v>1.69425429090909</v>
      </c>
      <c r="O11" s="2" t="n">
        <f aca="false">M11/N11</f>
        <v>4.59371756215709</v>
      </c>
      <c r="P11" s="2" t="n">
        <f aca="false">K11/L11</f>
        <v>1.44745877418903</v>
      </c>
      <c r="Q11" s="0" t="n">
        <v>0.01865</v>
      </c>
      <c r="AMC11" s="0"/>
      <c r="AMD11" s="0"/>
      <c r="AME11" s="0"/>
      <c r="AMF11" s="0"/>
      <c r="AMG11" s="0"/>
      <c r="AMH11" s="0"/>
      <c r="AMI11" s="0"/>
      <c r="AMJ11" s="0"/>
    </row>
    <row r="12" s="2" customFormat="true" ht="15" hidden="false" customHeight="false" outlineLevel="0" collapsed="false">
      <c r="A12" s="14" t="s">
        <v>39</v>
      </c>
      <c r="B12" s="15" t="n">
        <v>45608</v>
      </c>
      <c r="C12" s="16" t="s">
        <v>40</v>
      </c>
      <c r="D12" s="12" t="n">
        <v>-7.80916666666667</v>
      </c>
      <c r="E12" s="12" t="n">
        <v>-34.8845</v>
      </c>
      <c r="F12" s="12"/>
      <c r="G12" s="16" t="n">
        <v>36</v>
      </c>
      <c r="H12" s="17" t="n">
        <v>1</v>
      </c>
      <c r="I12" s="17" t="n">
        <v>3</v>
      </c>
      <c r="J12" s="2" t="s">
        <v>18</v>
      </c>
      <c r="K12" s="0" t="n">
        <v>13.8196121</v>
      </c>
      <c r="L12" s="2" t="n">
        <v>9.5724195</v>
      </c>
      <c r="M12" s="0" t="n">
        <v>6.1453252</v>
      </c>
      <c r="N12" s="0" t="n">
        <v>1.3039586</v>
      </c>
      <c r="O12" s="2" t="n">
        <f aca="false">M12/N12</f>
        <v>4.71282232426704</v>
      </c>
      <c r="P12" s="2" t="n">
        <f aca="false">K12/L12</f>
        <v>1.44369060507639</v>
      </c>
      <c r="Q12" s="0" t="n">
        <v>0.01849</v>
      </c>
      <c r="AMC12" s="0"/>
      <c r="AMD12" s="0"/>
      <c r="AME12" s="0"/>
      <c r="AMF12" s="0"/>
      <c r="AMG12" s="0"/>
      <c r="AMH12" s="0"/>
      <c r="AMI12" s="0"/>
      <c r="AMJ12" s="0"/>
    </row>
    <row r="13" s="2" customFormat="true" ht="15" hidden="false" customHeight="false" outlineLevel="0" collapsed="false">
      <c r="A13" s="14" t="s">
        <v>41</v>
      </c>
      <c r="B13" s="15" t="n">
        <v>45608</v>
      </c>
      <c r="C13" s="16" t="s">
        <v>42</v>
      </c>
      <c r="D13" s="12" t="n">
        <v>-7.80955555555556</v>
      </c>
      <c r="E13" s="12" t="n">
        <v>-34.8673055555556</v>
      </c>
      <c r="F13" s="12"/>
      <c r="G13" s="16" t="n">
        <v>37</v>
      </c>
      <c r="H13" s="17" t="n">
        <v>1</v>
      </c>
      <c r="I13" s="17" t="n">
        <v>3</v>
      </c>
      <c r="J13" s="2" t="s">
        <v>18</v>
      </c>
      <c r="K13" s="0" t="n">
        <v>7.72139371818182</v>
      </c>
      <c r="L13" s="2" t="n">
        <v>5.35414001818182</v>
      </c>
      <c r="M13" s="0" t="n">
        <v>3.43458951818182</v>
      </c>
      <c r="N13" s="0" t="n">
        <v>0.770018518181818</v>
      </c>
      <c r="O13" s="2" t="n">
        <f aca="false">M13/N13</f>
        <v>4.46039859702548</v>
      </c>
      <c r="P13" s="2" t="n">
        <f aca="false">K13/L13</f>
        <v>1.4421351873431</v>
      </c>
      <c r="Q13" s="0" t="n">
        <v>0.01844</v>
      </c>
      <c r="AMC13" s="0"/>
      <c r="AMD13" s="0"/>
      <c r="AME13" s="0"/>
      <c r="AMF13" s="0"/>
      <c r="AMG13" s="0"/>
      <c r="AMH13" s="0"/>
      <c r="AMI13" s="0"/>
      <c r="AMJ13" s="0"/>
    </row>
    <row r="14" s="2" customFormat="true" ht="15" hidden="false" customHeight="false" outlineLevel="0" collapsed="false">
      <c r="A14" s="14" t="s">
        <v>43</v>
      </c>
      <c r="B14" s="15" t="n">
        <v>45609</v>
      </c>
      <c r="C14" s="16" t="s">
        <v>44</v>
      </c>
      <c r="D14" s="12" t="n">
        <v>-7.82261111111111</v>
      </c>
      <c r="E14" s="12" t="n">
        <v>-34.8819444444444</v>
      </c>
      <c r="F14" s="12"/>
      <c r="G14" s="16" t="n">
        <v>35</v>
      </c>
      <c r="H14" s="16" t="n">
        <v>1</v>
      </c>
      <c r="I14" s="16" t="n">
        <v>3</v>
      </c>
      <c r="J14" s="2" t="s">
        <v>45</v>
      </c>
      <c r="K14" s="0" t="n">
        <v>17.5235898090909</v>
      </c>
      <c r="L14" s="2" t="n">
        <v>12.1995144090909</v>
      </c>
      <c r="M14" s="0" t="n">
        <v>7.57877520909091</v>
      </c>
      <c r="N14" s="0" t="n">
        <v>1.57255120909091</v>
      </c>
      <c r="O14" s="2" t="n">
        <f aca="false">M14/N14</f>
        <v>4.81941393404428</v>
      </c>
      <c r="P14" s="2" t="n">
        <f aca="false">K14/L14</f>
        <v>1.43641699345284</v>
      </c>
      <c r="Q14" s="0" t="n">
        <v>0.0183</v>
      </c>
      <c r="AMC14" s="0"/>
      <c r="AMD14" s="0"/>
      <c r="AME14" s="0"/>
      <c r="AMF14" s="0"/>
      <c r="AMG14" s="0"/>
      <c r="AMH14" s="0"/>
      <c r="AMI14" s="0"/>
      <c r="AMJ14" s="0"/>
    </row>
    <row r="15" s="2" customFormat="true" ht="15" hidden="false" customHeight="false" outlineLevel="0" collapsed="false">
      <c r="A15" s="14" t="s">
        <v>46</v>
      </c>
      <c r="B15" s="15" t="n">
        <v>45609</v>
      </c>
      <c r="C15" s="16" t="s">
        <v>47</v>
      </c>
      <c r="D15" s="12" t="n">
        <v>-7.81608333333333</v>
      </c>
      <c r="E15" s="12" t="n">
        <v>-34.8488611111111</v>
      </c>
      <c r="F15" s="12"/>
      <c r="G15" s="16" t="n">
        <v>37</v>
      </c>
      <c r="H15" s="16" t="n">
        <v>1</v>
      </c>
      <c r="I15" s="16" t="n">
        <v>2</v>
      </c>
      <c r="J15" s="2" t="s">
        <v>48</v>
      </c>
      <c r="K15" s="0" t="n">
        <v>10.9962178454545</v>
      </c>
      <c r="L15" s="2" t="n">
        <v>7.58616574545455</v>
      </c>
      <c r="M15" s="0" t="n">
        <v>4.86079554545454</v>
      </c>
      <c r="N15" s="0" t="n">
        <v>0.989913145454545</v>
      </c>
      <c r="O15" s="2" t="n">
        <f aca="false">M15/N15</f>
        <v>4.91032528234846</v>
      </c>
      <c r="P15" s="2" t="n">
        <f aca="false">K15/L15</f>
        <v>1.44950930607379</v>
      </c>
      <c r="Q15" s="0" t="n">
        <v>0.01868</v>
      </c>
      <c r="AMC15" s="0"/>
      <c r="AMD15" s="0"/>
      <c r="AME15" s="0"/>
      <c r="AMF15" s="0"/>
      <c r="AMG15" s="0"/>
      <c r="AMH15" s="0"/>
      <c r="AMI15" s="0"/>
      <c r="AMJ15" s="0"/>
    </row>
    <row r="16" s="2" customFormat="true" ht="15" hidden="false" customHeight="false" outlineLevel="0" collapsed="false">
      <c r="A16" s="14" t="s">
        <v>49</v>
      </c>
      <c r="B16" s="15" t="n">
        <v>45609</v>
      </c>
      <c r="C16" s="16" t="s">
        <v>50</v>
      </c>
      <c r="D16" s="16" t="n">
        <v>-7.81875</v>
      </c>
      <c r="E16" s="16" t="n">
        <v>-34.8642222222222</v>
      </c>
      <c r="F16" s="16"/>
      <c r="G16" s="2" t="n">
        <v>36</v>
      </c>
      <c r="H16" s="16" t="n">
        <v>1</v>
      </c>
      <c r="I16" s="16" t="n">
        <v>2</v>
      </c>
      <c r="J16" s="2" t="s">
        <v>18</v>
      </c>
      <c r="K16" s="0" t="n">
        <v>11.6348606818182</v>
      </c>
      <c r="L16" s="2" t="n">
        <v>8.10505258181818</v>
      </c>
      <c r="M16" s="0" t="n">
        <v>5.25532038181818</v>
      </c>
      <c r="N16" s="0" t="n">
        <v>1.13732608181818</v>
      </c>
      <c r="O16" s="2" t="n">
        <f aca="false">M16/N16</f>
        <v>4.62076836699004</v>
      </c>
      <c r="P16" s="2" t="n">
        <f aca="false">K16/L16</f>
        <v>1.43550711909239</v>
      </c>
      <c r="Q16" s="0" t="n">
        <v>0.01818</v>
      </c>
      <c r="AMC16" s="0"/>
      <c r="AMD16" s="0"/>
      <c r="AME16" s="0"/>
      <c r="AMF16" s="0"/>
      <c r="AMG16" s="0"/>
      <c r="AMH16" s="0"/>
      <c r="AMI16" s="0"/>
      <c r="AMJ16" s="0"/>
    </row>
    <row r="17" s="2" customFormat="true" ht="15" hidden="false" customHeight="false" outlineLevel="0" collapsed="false">
      <c r="A17" s="18" t="s">
        <v>51</v>
      </c>
      <c r="B17" s="15" t="n">
        <v>45609</v>
      </c>
      <c r="C17" s="16" t="s">
        <v>52</v>
      </c>
      <c r="D17" s="12" t="n">
        <v>-7.81419444444444</v>
      </c>
      <c r="E17" s="12" t="n">
        <v>-34.882</v>
      </c>
      <c r="F17" s="12"/>
      <c r="G17" s="16" t="n">
        <v>35.5</v>
      </c>
      <c r="H17" s="16" t="n">
        <v>1</v>
      </c>
      <c r="I17" s="16" t="n">
        <v>3</v>
      </c>
      <c r="J17" s="2" t="s">
        <v>18</v>
      </c>
      <c r="K17" s="0" t="n">
        <v>12.5772482818182</v>
      </c>
      <c r="L17" s="2" t="n">
        <v>8.69945688181818</v>
      </c>
      <c r="M17" s="0" t="n">
        <v>5.56668598181818</v>
      </c>
      <c r="N17" s="0" t="n">
        <v>1.13778668181818</v>
      </c>
      <c r="O17" s="2" t="n">
        <f aca="false">M17/N17</f>
        <v>4.89255681295427</v>
      </c>
      <c r="P17" s="2" t="n">
        <f aca="false">K17/L17</f>
        <v>1.44575097648964</v>
      </c>
      <c r="Q17" s="0" t="n">
        <v>0.01856</v>
      </c>
      <c r="AMC17" s="0"/>
      <c r="AMD17" s="0"/>
      <c r="AME17" s="0"/>
      <c r="AMF17" s="0"/>
      <c r="AMG17" s="0"/>
      <c r="AMH17" s="0"/>
      <c r="AMI17" s="0"/>
      <c r="AMJ17" s="0"/>
    </row>
    <row r="19" customFormat="false" ht="16.05" hidden="false" customHeight="true" outlineLevel="0" collapsed="false">
      <c r="D19" s="19" t="s">
        <v>53</v>
      </c>
      <c r="E19" s="19"/>
      <c r="F19" s="19"/>
    </row>
    <row r="20" customFormat="false" ht="29.15" hidden="false" customHeight="false" outlineLevel="0" collapsed="false">
      <c r="C20" s="2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2025-03-26T18:58:26Z</dcterms:created>
  <dc:creator>Vincent Vantrepotte</dc:creator>
  <dc:description/>
  <dc:language>fr-FR</dc:language>
  <cp:lastModifiedBy>Xavier MERIAUX</cp:lastModifiedBy>
  <dcterms:modified xsi:type="dcterms:W3CDTF">2025-05-09T09:45:19Z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